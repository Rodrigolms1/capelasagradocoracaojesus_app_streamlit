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03630d5736cef3/Documentos/Capela Sagrado Coração de Jesus/APRESENTAÇÃO/"/>
    </mc:Choice>
  </mc:AlternateContent>
  <xr:revisionPtr revIDLastSave="159" documentId="13_ncr:1_{7E0D1CE5-7572-4A33-AF21-28D10275BFFA}" xr6:coauthVersionLast="47" xr6:coauthVersionMax="47" xr10:uidLastSave="{C3B8D2A5-9A9F-41DC-AF9C-C7CBF1F09397}"/>
  <bookViews>
    <workbookView xWindow="-120" yWindow="-120" windowWidth="20730" windowHeight="11760" xr2:uid="{F89C135B-2420-438A-9CBF-8C2CB3326B4C}"/>
  </bookViews>
  <sheets>
    <sheet name="A PAG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2" i="2"/>
  <c r="H2" i="2" s="1"/>
  <c r="E13" i="2"/>
  <c r="G5" i="2"/>
  <c r="H5" i="2" s="1"/>
  <c r="G4" i="2"/>
  <c r="D13" i="2" s="1"/>
  <c r="G3" i="2"/>
  <c r="H7" i="2" l="1"/>
  <c r="H10" i="2"/>
  <c r="H4" i="2"/>
  <c r="H6" i="2"/>
  <c r="H9" i="2"/>
  <c r="H12" i="2"/>
  <c r="H8" i="2"/>
  <c r="H11" i="2"/>
  <c r="H3" i="2"/>
  <c r="G13" i="2"/>
</calcChain>
</file>

<file path=xl/sharedStrings.xml><?xml version="1.0" encoding="utf-8"?>
<sst xmlns="http://schemas.openxmlformats.org/spreadsheetml/2006/main" count="35" uniqueCount="24">
  <si>
    <t>DATA</t>
  </si>
  <si>
    <t>VALOR</t>
  </si>
  <si>
    <t>SALDO</t>
  </si>
  <si>
    <t>JOACIR DE MATOS</t>
  </si>
  <si>
    <t>COMPRA DE MASSAS PARA PASTEL</t>
  </si>
  <si>
    <t>TINTAS BARREIRINHA (FRANCYELI)</t>
  </si>
  <si>
    <t>DONDA ENGENHARIA</t>
  </si>
  <si>
    <t>PAGAMENTO</t>
  </si>
  <si>
    <t>NF 3 PINTURA CAPELA</t>
  </si>
  <si>
    <t>NF 2 PINTURA CAPELA</t>
  </si>
  <si>
    <t>TIPO</t>
  </si>
  <si>
    <t>DINHEIRO</t>
  </si>
  <si>
    <t>NF 2567 TINTAS BARREIRINHA PINTURA CAPELA</t>
  </si>
  <si>
    <t>CHEQUE</t>
  </si>
  <si>
    <t>CESTA DE RELACIONAMENTO</t>
  </si>
  <si>
    <t>INTEGR.CAPITAL SUBSCRITO</t>
  </si>
  <si>
    <t>PLANO INT CAPITAL</t>
  </si>
  <si>
    <t>JUROS UTILIZ.CH.ESPECIAL</t>
  </si>
  <si>
    <t>SICRED</t>
  </si>
  <si>
    <t>DESCONTO INDEVIDO - SOLICITADO REEMBOLSO</t>
  </si>
  <si>
    <t>OBSERVAÇÃO</t>
  </si>
  <si>
    <t>CREDOR</t>
  </si>
  <si>
    <t>STATUS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</si>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</sst>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 applyBorder="1"/>
    <xf numFmtId="14" fontId="0" fillId="0" borderId="0" xfId="0" applyNumberFormat="1"/>
    <xf numFmtId="164" fontId="0" fillId="0" borderId="0" xfId="0" applyNumberFormat="1"/>
  </cellXfs>
  <cellStyles count="2">
    <cellStyle name="Normal" xfId="0" builtinId="0"/>
    <cellStyle name="Vírgula" xfId="1" builtinId="3"/>
  </cellStyles>
  <dxfs count="13"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_ ;\-#,##0.00\ 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18D7D-8D03-4DE4-B249-369D01FC4901}" name="Tabela13" displayName="Tabela13" ref="A1:I13" totalsRowCount="1" dataDxfId="12" dataCellStyle="Vírgula">
  <autoFilter ref="A1:I12" xr:uid="{F0CF84E1-ADB0-46C5-8FB0-9C06D491CF7D}"/>
  <sortState xmlns:xlrd2="http://schemas.microsoft.com/office/spreadsheetml/2017/richdata2" ref="A2:I5">
    <sortCondition ref="A3:A5"/>
  </sortState>
  <tableColumns count="9">
    <tableColumn id="1" xr3:uid="{889143F9-5DA5-4696-88E4-DAFC37520DED}" name="DATA" dataDxfId="11" totalsRowDxfId="5"/>
    <tableColumn id="2" xr3:uid="{8983C9C9-5263-47AC-A5F2-05C573F609CC}" name="CREDOR"/>
    <tableColumn id="3" xr3:uid="{9BEBC233-779B-4DB3-85CC-9EF02C606658}" name="DESCRIÇÃO"/>
    <tableColumn id="4" xr3:uid="{43B5FF53-B5CF-4985-AA38-01AA666DEE9B}" name="VALOR" totalsRowFunction="sum" dataDxfId="10" totalsRowDxfId="4" dataCellStyle="Vírgula"/>
    <tableColumn id="5" xr3:uid="{53204AD1-F7E6-4C9C-AF2D-AF38B94BD56E}" name="PAGAMENTO" totalsRowFunction="sum" dataDxfId="9" totalsRowDxfId="3" dataCellStyle="Vírgula"/>
    <tableColumn id="8" xr3:uid="{06B24867-6A9A-4DDD-8D9B-99957D3D824C}" name="TIPO" dataDxfId="8" totalsRowDxfId="2" dataCellStyle="Vírgula"/>
    <tableColumn id="6" xr3:uid="{091CC505-4CB0-49D5-8E5B-35198F916611}" name="SALDO" totalsRowFunction="sum" dataDxfId="7" totalsRowDxfId="1" dataCellStyle="Vírgula">
      <calculatedColumnFormula>D2-E2</calculatedColumnFormula>
    </tableColumn>
    <tableColumn id="9" xr3:uid="{BA8F18AE-EC94-41B1-8B58-A093F005BBBF}" name="STATUS" dataDxfId="6" totalsRowDxfId="0" dataCellStyle="Vírgula">
      <calculatedColumnFormula>IF(SUMIF(B:B,B2,G:G)=0,"PAGO","À PAGAR")</calculatedColumnFormula>
    </tableColumn>
    <tableColumn id="7" xr3:uid="{930E6391-11A6-49C4-A4E5-2CDA0942346C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F405-ACBF-4373-8B1A-4E6943922A2A}">
  <dimension ref="A1:I13"/>
  <sheetViews>
    <sheetView showGridLines="0" tabSelected="1" workbookViewId="0">
      <selection activeCell="A13" sqref="A13"/>
    </sheetView>
  </sheetViews>
  <sheetFormatPr defaultRowHeight="15" x14ac:dyDescent="0.25"/>
  <cols>
    <col min="1" max="1" width="10.7109375" customWidth="1"/>
    <col min="2" max="2" width="31.140625" bestFit="1" customWidth="1"/>
    <col min="3" max="3" width="55.85546875" bestFit="1" customWidth="1"/>
    <col min="4" max="4" width="9.5703125" bestFit="1" customWidth="1"/>
    <col min="5" max="6" width="14.5703125" customWidth="1"/>
    <col min="7" max="7" width="9.28515625" customWidth="1"/>
    <col min="8" max="8" width="11.140625" bestFit="1" customWidth="1"/>
    <col min="9" max="9" width="44" bestFit="1" customWidth="1"/>
  </cols>
  <sheetData>
    <row r="1" spans="1:9" x14ac:dyDescent="0.25">
      <c r="A1" t="s">
        <v>0</v>
      </c>
      <c r="B1" t="s">
        <v>21</v>
      </c>
      <c r="C1" t="s">
        <v>23</v>
      </c>
      <c r="D1" t="s">
        <v>1</v>
      </c>
      <c r="E1" t="s">
        <v>7</v>
      </c>
      <c r="F1" t="s">
        <v>10</v>
      </c>
      <c r="G1" t="s">
        <v>2</v>
      </c>
      <c r="H1" t="s">
        <v>22</v>
      </c>
      <c r="I1" t="s">
        <v>20</v>
      </c>
    </row>
    <row r="2" spans="1:9" x14ac:dyDescent="0.25">
      <c r="A2" s="2">
        <v>45866</v>
      </c>
      <c r="B2" t="s">
        <v>5</v>
      </c>
      <c r="C2" t="s">
        <v>12</v>
      </c>
      <c r="D2" s="1">
        <v>1319.37</v>
      </c>
      <c r="E2">
        <v>132</v>
      </c>
      <c r="F2" t="s">
        <v>11</v>
      </c>
      <c r="G2" s="3">
        <f t="shared" ref="G2:G5" si="0">D2-E2</f>
        <v>1187.3699999999999</v>
      </c>
      <c r="H2" s="3" t="str">
        <f t="shared" ref="H2:H12" si="1">IF(SUMIF(B:B,B2,G:G)=0,"PAGO","À PAGAR")</f>
        <v>À PAGAR</v>
      </c>
    </row>
    <row r="3" spans="1:9" x14ac:dyDescent="0.25">
      <c r="A3" s="2">
        <v>45867</v>
      </c>
      <c r="B3" t="s">
        <v>6</v>
      </c>
      <c r="C3" t="s">
        <v>9</v>
      </c>
      <c r="D3" s="1">
        <v>6480</v>
      </c>
      <c r="E3" s="1">
        <v>6480</v>
      </c>
      <c r="F3" s="1" t="s">
        <v>13</v>
      </c>
      <c r="G3" s="1">
        <f t="shared" si="0"/>
        <v>0</v>
      </c>
      <c r="H3" s="1" t="str">
        <f t="shared" si="1"/>
        <v>PAGO</v>
      </c>
    </row>
    <row r="4" spans="1:9" x14ac:dyDescent="0.25">
      <c r="A4" s="2">
        <v>45874</v>
      </c>
      <c r="B4" t="s">
        <v>3</v>
      </c>
      <c r="C4" t="s">
        <v>4</v>
      </c>
      <c r="D4" s="1">
        <v>102</v>
      </c>
      <c r="E4" s="1">
        <v>102</v>
      </c>
      <c r="F4" s="1"/>
      <c r="G4" s="1">
        <f t="shared" si="0"/>
        <v>0</v>
      </c>
      <c r="H4" s="1" t="str">
        <f t="shared" si="1"/>
        <v>PAGO</v>
      </c>
    </row>
    <row r="5" spans="1:9" x14ac:dyDescent="0.25">
      <c r="A5" s="2">
        <v>45901</v>
      </c>
      <c r="B5" t="s">
        <v>6</v>
      </c>
      <c r="C5" t="s">
        <v>8</v>
      </c>
      <c r="D5" s="1">
        <v>6480</v>
      </c>
      <c r="E5" s="1">
        <v>6480</v>
      </c>
      <c r="F5" s="1"/>
      <c r="G5" s="1">
        <f t="shared" si="0"/>
        <v>0</v>
      </c>
      <c r="H5" s="1" t="str">
        <f t="shared" si="1"/>
        <v>PAGO</v>
      </c>
    </row>
    <row r="6" spans="1:9" x14ac:dyDescent="0.25">
      <c r="A6" s="2">
        <v>45896</v>
      </c>
      <c r="B6" t="s">
        <v>18</v>
      </c>
      <c r="C6" t="s">
        <v>14</v>
      </c>
      <c r="D6" s="1">
        <v>37.5</v>
      </c>
      <c r="E6" s="1">
        <v>37.5</v>
      </c>
      <c r="F6" s="1"/>
      <c r="G6" s="1">
        <f t="shared" ref="G6:G9" si="2">D6-E6</f>
        <v>0</v>
      </c>
      <c r="H6" s="1" t="str">
        <f t="shared" si="1"/>
        <v>PAGO</v>
      </c>
    </row>
    <row r="7" spans="1:9" x14ac:dyDescent="0.25">
      <c r="A7" s="2">
        <v>45905</v>
      </c>
      <c r="B7" t="s">
        <v>18</v>
      </c>
      <c r="C7" t="s">
        <v>15</v>
      </c>
      <c r="D7" s="1">
        <v>25</v>
      </c>
      <c r="E7" s="1">
        <v>25</v>
      </c>
      <c r="F7" s="1"/>
      <c r="G7" s="1">
        <f t="shared" si="2"/>
        <v>0</v>
      </c>
      <c r="H7" s="1" t="str">
        <f t="shared" si="1"/>
        <v>PAGO</v>
      </c>
    </row>
    <row r="8" spans="1:9" x14ac:dyDescent="0.25">
      <c r="A8" s="2">
        <v>45905</v>
      </c>
      <c r="B8" t="s">
        <v>18</v>
      </c>
      <c r="C8" t="s">
        <v>15</v>
      </c>
      <c r="D8" s="1">
        <v>25</v>
      </c>
      <c r="E8" s="1">
        <v>25</v>
      </c>
      <c r="F8" s="1"/>
      <c r="G8" s="1">
        <f t="shared" si="2"/>
        <v>0</v>
      </c>
      <c r="H8" s="1" t="str">
        <f t="shared" si="1"/>
        <v>PAGO</v>
      </c>
      <c r="I8" t="s">
        <v>19</v>
      </c>
    </row>
    <row r="9" spans="1:9" x14ac:dyDescent="0.25">
      <c r="A9" s="2">
        <v>45915</v>
      </c>
      <c r="B9" t="s">
        <v>18</v>
      </c>
      <c r="C9" t="s">
        <v>16</v>
      </c>
      <c r="D9" s="1">
        <v>25</v>
      </c>
      <c r="E9" s="1">
        <v>25</v>
      </c>
      <c r="F9" s="1"/>
      <c r="G9" s="1">
        <f t="shared" si="2"/>
        <v>0</v>
      </c>
      <c r="H9" s="1" t="str">
        <f t="shared" si="1"/>
        <v>PAGO</v>
      </c>
    </row>
    <row r="10" spans="1:9" x14ac:dyDescent="0.25">
      <c r="A10" s="2">
        <v>45915</v>
      </c>
      <c r="B10" t="s">
        <v>18</v>
      </c>
      <c r="C10" t="s">
        <v>14</v>
      </c>
      <c r="D10" s="1">
        <v>37.5</v>
      </c>
      <c r="E10" s="1">
        <v>37.5</v>
      </c>
      <c r="F10" s="1"/>
      <c r="G10" s="1">
        <f t="shared" ref="G10:G12" si="3">D10-E10</f>
        <v>0</v>
      </c>
      <c r="H10" s="1" t="str">
        <f t="shared" si="1"/>
        <v>PAGO</v>
      </c>
    </row>
    <row r="11" spans="1:9" x14ac:dyDescent="0.25">
      <c r="A11" s="2">
        <v>45922</v>
      </c>
      <c r="B11" t="s">
        <v>18</v>
      </c>
      <c r="C11" t="s">
        <v>17</v>
      </c>
      <c r="D11" s="1">
        <v>6.28</v>
      </c>
      <c r="E11" s="1">
        <v>6.28</v>
      </c>
      <c r="F11" s="1"/>
      <c r="G11" s="1">
        <f t="shared" si="3"/>
        <v>0</v>
      </c>
      <c r="H11" s="1" t="str">
        <f t="shared" si="1"/>
        <v>PAGO</v>
      </c>
      <c r="I11" t="s">
        <v>19</v>
      </c>
    </row>
    <row r="12" spans="1:9" x14ac:dyDescent="0.25">
      <c r="A12" s="2">
        <v>45929</v>
      </c>
      <c r="B12" t="s">
        <v>18</v>
      </c>
      <c r="C12" t="s">
        <v>15</v>
      </c>
      <c r="D12" s="1">
        <v>25</v>
      </c>
      <c r="E12" s="1">
        <v>25</v>
      </c>
      <c r="F12" s="1"/>
      <c r="G12" s="1">
        <f t="shared" si="3"/>
        <v>0</v>
      </c>
      <c r="H12" s="1" t="str">
        <f t="shared" si="1"/>
        <v>PAGO</v>
      </c>
    </row>
    <row r="13" spans="1:9" x14ac:dyDescent="0.25">
      <c r="A13" s="2"/>
      <c r="D13" s="3">
        <f>SUBTOTAL(109,Tabela13[VALOR])</f>
        <v>14562.65</v>
      </c>
      <c r="E13" s="3">
        <f>SUBTOTAL(109,Tabela13[PAGAMENTO])</f>
        <v>13375.28</v>
      </c>
      <c r="F13" s="3"/>
      <c r="G13" s="3">
        <f>SUBTOTAL(109,Tabela13[SALDO])</f>
        <v>1187.3699999999999</v>
      </c>
      <c r="H1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 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Lima Silva</dc:creator>
  <cp:lastModifiedBy>Rodrigo de Lima Silva</cp:lastModifiedBy>
  <dcterms:created xsi:type="dcterms:W3CDTF">2025-09-25T00:01:53Z</dcterms:created>
  <dcterms:modified xsi:type="dcterms:W3CDTF">2025-10-23T01:00:47Z</dcterms:modified>
</cp:coreProperties>
</file>